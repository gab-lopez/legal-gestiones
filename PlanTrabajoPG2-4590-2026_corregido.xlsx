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2" fillId="0" borderId="0" pivotButton="0" quotePrefix="0" xfId="0"/>
    <xf numFmtId="14" fontId="2" fillId="0" borderId="0" pivotButton="0" quotePrefix="0" xfId="0"/>
    <xf numFmtId="0" fontId="2" fillId="0" borderId="0" applyAlignment="1" pivotButton="0" quotePrefix="0" xfId="0">
      <alignment horizontal="left" indent="1"/>
    </xf>
    <xf numFmtId="10" fontId="0" fillId="0" borderId="0" pivotButton="0" quotePrefix="0" xfId="0"/>
    <xf numFmtId="14" fontId="1" fillId="0" borderId="0" pivotButton="0" quotePrefix="0" xfId="0"/>
    <xf numFmtId="10" fontId="2" fillId="0" borderId="0" pivotButton="0" quotePrefix="0" xfId="0"/>
    <xf numFmtId="0" fontId="3" fillId="0" borderId="0" pivotButton="0" quotePrefix="0" xfId="0"/>
    <xf numFmtId="10" fontId="1" fillId="0" borderId="0" pivotButton="0" quotePrefix="0" xfId="0"/>
    <xf numFmtId="2" fontId="0" fillId="0" borderId="0" pivotButton="0" quotePrefix="0" xfId="0"/>
    <xf numFmtId="2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workbookViewId="0">
      <selection activeCell="K5" sqref="K5"/>
    </sheetView>
  </sheetViews>
  <sheetFormatPr baseColWidth="8" defaultRowHeight="15"/>
  <cols>
    <col width="4.28515625" bestFit="1" customWidth="1" min="1" max="1"/>
    <col width="118.140625" customWidth="1" min="2" max="2"/>
    <col width="9.140625" bestFit="1" customWidth="1" min="3" max="3"/>
    <col width="11.7109375" bestFit="1" customWidth="1" min="4" max="5"/>
    <col width="8.5703125" bestFit="1" customWidth="1" min="6" max="6"/>
    <col width="7.5703125" bestFit="1" customWidth="1" min="7" max="7"/>
    <col width="8.28515625" bestFit="1" customWidth="1" min="8" max="8"/>
    <col width="9.42578125" bestFit="1" customWidth="1" min="9" max="10"/>
    <col width="9.7109375" bestFit="1" customWidth="1" min="11" max="11"/>
    <col width="12.140625" bestFit="1" customWidth="1" min="12" max="12"/>
  </cols>
  <sheetData>
    <row r="1">
      <c r="A1" s="1" t="inlineStr">
        <is>
          <t>No.</t>
        </is>
      </c>
      <c r="B1" s="1" t="inlineStr">
        <is>
          <t>Descripción Tarea</t>
        </is>
      </c>
      <c r="C1" s="13" t="inlineStr">
        <is>
          <t>Duración</t>
        </is>
      </c>
      <c r="D1" s="13" t="inlineStr">
        <is>
          <t>Fecha Inicio</t>
        </is>
      </c>
      <c r="E1" s="13" t="inlineStr">
        <is>
          <t>Fecha Fin</t>
        </is>
      </c>
      <c r="F1" s="14" t="inlineStr">
        <is>
          <t>%plan</t>
        </is>
      </c>
      <c r="G1" s="14" t="inlineStr">
        <is>
          <t>%real</t>
        </is>
      </c>
      <c r="H1" s="14" t="inlineStr">
        <is>
          <t>%diff</t>
        </is>
      </c>
      <c r="I1" s="14" t="inlineStr">
        <is>
          <t>PesoR</t>
        </is>
      </c>
      <c r="J1" s="14" t="inlineStr">
        <is>
          <t>PesoP</t>
        </is>
      </c>
      <c r="K1" s="14" t="inlineStr">
        <is>
          <t>No. Padre</t>
        </is>
      </c>
    </row>
    <row r="2">
      <c r="A2" t="n">
        <v>1</v>
      </c>
      <c r="B2" t="inlineStr">
        <is>
          <t>Sistema de Gestión de Documentos Legales – Legal Gestiones (RV4)</t>
        </is>
      </c>
      <c r="C2" s="1">
        <f>SUMIF($K$2:$K$997, A2, $C$2:$C$997)</f>
        <v/>
      </c>
      <c r="D2" s="7">
        <f>MIN(D3:D20)</f>
        <v/>
      </c>
      <c r="E2" s="7">
        <f>MAX(E3:E20)</f>
        <v/>
      </c>
      <c r="F2" s="10">
        <f>SUMIF($K$2:$K$97, A2, $I$2:$I$97)</f>
        <v/>
      </c>
      <c r="G2" s="10">
        <f>SUMIF($K$2:$K$97, A2, $J$2:$J$97)</f>
        <v/>
      </c>
      <c r="H2" s="10">
        <f>G2-F2</f>
        <v/>
      </c>
      <c r="I2" s="10" t="n"/>
      <c r="J2" s="1" t="n"/>
      <c r="K2" s="1" t="n"/>
    </row>
    <row r="3">
      <c r="A3" t="n">
        <v>2</v>
      </c>
      <c r="B3" s="5" t="inlineStr">
        <is>
          <t>Capitulo 3 - Analisis y Diseño</t>
        </is>
      </c>
      <c r="C3" s="3">
        <f>SUMIF($K$2:$K$97, A3, $C$2:$C$97)</f>
        <v/>
      </c>
      <c r="D3" s="4">
        <f>MIN(D4:D8)</f>
        <v/>
      </c>
      <c r="E3" s="4">
        <f>MAX(E4:E8)</f>
        <v/>
      </c>
      <c r="F3" s="8">
        <f>SUMIF($K$2:$K$97, A3, $I$2:$I$97)</f>
        <v/>
      </c>
      <c r="G3" s="8">
        <f>SUMIF($K$2:$K$97, A3, $J$2:$J$97)</f>
        <v/>
      </c>
      <c r="H3" s="8">
        <f>G3-F3</f>
        <v/>
      </c>
      <c r="I3" s="12">
        <f t="array" ref="I3">F3*(C3/INDIRECT(_xlfn.CONCAT("$C$",K3+1)))</f>
        <v/>
      </c>
      <c r="J3" s="12">
        <f t="array" ref="J3">G3*(C3/INDIRECT(_xlfn.CONCAT("$C$",K3+1)))</f>
        <v/>
      </c>
      <c r="K3" s="3" t="n">
        <v>1</v>
      </c>
    </row>
    <row r="4">
      <c r="A4" t="n">
        <v>3</v>
      </c>
      <c r="B4" t="inlineStr">
        <is>
          <t>Formalización y validación final de requerimientos con el gestor legal y unidades de negocio</t>
        </is>
      </c>
      <c r="C4" s="9">
        <f>E4-D4+1</f>
        <v/>
      </c>
      <c r="D4" s="2" t="n">
        <v>46235</v>
      </c>
      <c r="E4" s="2" t="n">
        <v>46238</v>
      </c>
      <c r="F4" s="6">
        <f>SUMIF($K$2:$K$97, A4, $I$2:$I$97)</f>
        <v/>
      </c>
      <c r="G4" s="6">
        <f>SUMIF($K$2:$K$97, A4, $J$2:$J$97)</f>
        <v/>
      </c>
      <c r="H4" s="6">
        <f>G4-F4</f>
        <v/>
      </c>
      <c r="I4" s="11">
        <f t="array" ref="I4">F4*(C4/INDIRECT(_xlfn.CONCAT("$C$",K4+1)))</f>
        <v/>
      </c>
      <c r="J4" s="11">
        <f t="array" ref="J4">G4*(C4/INDIRECT(_xlfn.CONCAT("$C$",K4+1)))</f>
        <v/>
      </c>
      <c r="K4" t="n">
        <v>2</v>
      </c>
    </row>
    <row r="5">
      <c r="A5" t="n">
        <v>4</v>
      </c>
      <c r="B5" t="inlineStr">
        <is>
          <t>Consolidación del modelo de base de datos (entidades, relaciones, catálogos)</t>
        </is>
      </c>
      <c r="C5">
        <f>E5-D5+1</f>
        <v/>
      </c>
      <c r="D5" s="2" t="n">
        <v>46239</v>
      </c>
      <c r="E5" s="2" t="n">
        <v>46241</v>
      </c>
      <c r="F5" s="6">
        <f>IF(D5&gt;TODAY(),0,((TODAY()-D5+1)/(E5-D5+1)))</f>
        <v/>
      </c>
      <c r="G5" s="6" t="n">
        <v>0.29</v>
      </c>
      <c r="H5" s="6">
        <f>G5-F5</f>
        <v/>
      </c>
      <c r="I5" s="11">
        <f t="array" ref="I5">F5*(C5/INDIRECT(_xlfn.CONCAT("$C$",K5+1)))</f>
        <v/>
      </c>
      <c r="J5" s="11">
        <f t="array" ref="J5">G5*(C5/INDIRECT(_xlfn.CONCAT("$C$",K5+1)))</f>
        <v/>
      </c>
      <c r="K5" t="n">
        <v>2</v>
      </c>
    </row>
    <row r="6">
      <c r="A6" t="n">
        <v>5</v>
      </c>
      <c r="B6" t="inlineStr">
        <is>
          <t>Definición de la arquitectura tecnológica de la solución</t>
        </is>
      </c>
      <c r="C6">
        <f>E6-D6+1</f>
        <v/>
      </c>
      <c r="D6" s="2">
        <f>E5+1</f>
        <v/>
      </c>
      <c r="E6" s="2" t="n">
        <v>46244</v>
      </c>
      <c r="F6" s="6">
        <f>IF(D6&gt;TODAY(),0,((TODAY()-D6+1)/(E6-D6+1)))</f>
        <v/>
      </c>
      <c r="G6" s="6" t="n">
        <v>0</v>
      </c>
      <c r="H6" s="6">
        <f>G6-F6</f>
        <v/>
      </c>
      <c r="I6" s="11">
        <f t="array" ref="I6">F6*(C6/INDIRECT(_xlfn.CONCAT("$C$",K6+1)))</f>
        <v/>
      </c>
      <c r="J6" s="11">
        <f t="array" ref="J6">G6*(C6/INDIRECT(_xlfn.CONCAT("$C$",K6+1)))</f>
        <v/>
      </c>
      <c r="K6" t="n">
        <v>2</v>
      </c>
    </row>
    <row r="7">
      <c r="A7" t="n">
        <v>6</v>
      </c>
      <c r="B7" t="inlineStr">
        <is>
          <t>Diseño de flujos de UI/UX: solicitud, revisión del gestor, aprobación y generación de documentos</t>
        </is>
      </c>
      <c r="C7">
        <f>E7-D7+1</f>
        <v/>
      </c>
      <c r="D7" s="2">
        <f>E6+1</f>
        <v/>
      </c>
      <c r="E7" s="2" t="n">
        <v>46246</v>
      </c>
      <c r="F7" s="6">
        <f>IF(D7&gt;TODAY(),0,((TODAY()-D7+1)/(E7-D7+1)))</f>
        <v/>
      </c>
      <c r="G7" s="6" t="n">
        <v>0</v>
      </c>
      <c r="H7" s="6">
        <f>G7-F7</f>
        <v/>
      </c>
      <c r="I7" s="11">
        <f t="array" ref="I7">F7*(C7/INDIRECT(_xlfn.CONCAT("$C$",K7+1)))</f>
        <v/>
      </c>
      <c r="J7" s="11">
        <f t="array" ref="J7">G7*(C7/INDIRECT(_xlfn.CONCAT("$C$",K7+1)))</f>
        <v/>
      </c>
      <c r="K7" t="n">
        <v>2</v>
      </c>
    </row>
    <row r="8">
      <c r="A8" t="n">
        <v>7</v>
      </c>
      <c r="B8" t="inlineStr">
        <is>
          <t>Consolidación del documento de diseño y cierre de fase</t>
        </is>
      </c>
      <c r="C8">
        <f>E8-D8+1</f>
        <v/>
      </c>
      <c r="D8" s="2" t="n">
        <v>46247</v>
      </c>
      <c r="E8" s="2" t="n">
        <v>46248</v>
      </c>
      <c r="F8" s="6">
        <f>IF(D8&gt;TODAY(),0,((TODAY()-D8+1)/(E8-D8+1)))</f>
        <v/>
      </c>
      <c r="G8" s="6" t="n">
        <v>0</v>
      </c>
      <c r="H8" s="6">
        <f>G8-F8</f>
        <v/>
      </c>
      <c r="I8" s="11">
        <f t="array" ref="I8">F8*(C8/INDIRECT(_xlfn.CONCAT("$C$",K8+1)))</f>
        <v/>
      </c>
      <c r="J8" s="11">
        <f t="array" ref="J8">G8*(C8/INDIRECT(_xlfn.CONCAT("$C$",K8+1)))</f>
        <v/>
      </c>
      <c r="K8" t="n">
        <v>2</v>
      </c>
    </row>
    <row r="9">
      <c r="A9" t="n">
        <v>8</v>
      </c>
      <c r="B9" s="5" t="inlineStr">
        <is>
          <t>Capitulo 4 - Desarrollo (Certificación)</t>
        </is>
      </c>
      <c r="C9" s="3">
        <f>SUMIF($K$2:$K$97, A9, $C$2:$C$97)</f>
        <v/>
      </c>
      <c r="D9" s="4">
        <f>MIN(D10:D19)</f>
        <v/>
      </c>
      <c r="E9" s="4">
        <f>MAX(E10:E19)</f>
        <v/>
      </c>
      <c r="F9" s="8">
        <f>SUMIF($K$2:$K$97, A9, $I$2:$I$97)</f>
        <v/>
      </c>
      <c r="G9" s="8">
        <f>SUMIF($K$2:$K$97, A9, $J$2:$J$97)</f>
        <v/>
      </c>
      <c r="H9" s="8">
        <f>G9-F9</f>
        <v/>
      </c>
      <c r="I9" s="12">
        <f t="array" ref="I9">F9*(C9/INDIRECT(_xlfn.CONCAT("$C$",K9+1)))</f>
        <v/>
      </c>
      <c r="J9" s="12">
        <f t="array" ref="J9">G9*(C9/INDIRECT(_xlfn.CONCAT("$C$",K9+1)))</f>
        <v/>
      </c>
      <c r="K9" s="3" t="n">
        <v>1</v>
      </c>
    </row>
    <row r="10">
      <c r="A10" t="n">
        <v>9</v>
      </c>
      <c r="B10" t="inlineStr">
        <is>
          <t>Sprint base: consolidación de módulos ya implementados (login, dashboard, solicitudes, generación de borrador Word)</t>
        </is>
      </c>
      <c r="C10">
        <f>E10-D10+1</f>
        <v/>
      </c>
      <c r="D10" s="2" t="n">
        <v>46249</v>
      </c>
      <c r="E10" s="2" t="n">
        <v>46255</v>
      </c>
      <c r="F10" s="6">
        <f>IF(D10&gt;TODAY(),0,((TODAY()-D10+1)/(E10-D10+1)))</f>
        <v/>
      </c>
      <c r="G10" s="6" t="n">
        <v>0</v>
      </c>
      <c r="H10" s="6">
        <f>G10-F10</f>
        <v/>
      </c>
      <c r="I10" s="11">
        <f t="array" ref="I10">F10*(C10/INDIRECT(_xlfn.CONCAT("$C$",K10+1)))</f>
        <v/>
      </c>
      <c r="J10" s="11">
        <f t="array" ref="J10">G10*(C10/INDIRECT(_xlfn.CONCAT("$C$",K10+1)))</f>
        <v/>
      </c>
      <c r="K10" t="n">
        <v>8</v>
      </c>
    </row>
    <row r="11">
      <c r="A11" t="n">
        <v>10</v>
      </c>
      <c r="B11" t="inlineStr">
        <is>
          <t>Corrección de generación de documentos: colisión de marcadores (folio/libro) y plantilla base con variantes (con/sin fiador)</t>
        </is>
      </c>
      <c r="C11">
        <f>E11-D11+1</f>
        <v/>
      </c>
      <c r="D11" s="2" t="n">
        <v>46256</v>
      </c>
      <c r="E11" s="2" t="n">
        <v>46262</v>
      </c>
      <c r="F11" s="6">
        <f>IF(D11&gt;TODAY(),0,((TODAY()-D11+1)/(E11-D11+1)))</f>
        <v/>
      </c>
      <c r="G11" s="6" t="n">
        <v>0</v>
      </c>
      <c r="H11" s="6">
        <f>G11-F11</f>
        <v/>
      </c>
      <c r="I11" s="11">
        <f t="array" ref="I11">F11*(C11/INDIRECT(_xlfn.CONCAT("$C$",K11+1)))</f>
        <v/>
      </c>
      <c r="J11" s="11">
        <f t="array" ref="J11">G11*(C11/INDIRECT(_xlfn.CONCAT("$C$",K11+1)))</f>
        <v/>
      </c>
      <c r="K11" t="n">
        <v>8</v>
      </c>
    </row>
    <row r="12">
      <c r="A12" t="n">
        <v>11</v>
      </c>
      <c r="B12" t="inlineStr">
        <is>
          <t>Migración de plantillas de arrendamiento (Local Comercial, Kiosko, Oficina) a documento base único con bloques condicionales</t>
        </is>
      </c>
      <c r="C12">
        <f>E12-D12+1</f>
        <v/>
      </c>
      <c r="D12" s="2" t="n">
        <v>46263</v>
      </c>
      <c r="E12" s="2" t="n">
        <v>46269</v>
      </c>
      <c r="F12" s="6">
        <f>IF(D12&gt;TODAY(),0,((TODAY()-D12+1)/(E12-D12+1)))</f>
        <v/>
      </c>
      <c r="G12" s="6" t="n">
        <v>0</v>
      </c>
      <c r="H12" s="6">
        <f>G12-F12</f>
        <v/>
      </c>
      <c r="I12" s="11">
        <f t="array" ref="I12">F12*(C12/INDIRECT(_xlfn.CONCAT("$C$",K12+1)))</f>
        <v/>
      </c>
      <c r="J12" s="11">
        <f t="array" ref="J12">G12*(C12/INDIRECT(_xlfn.CONCAT("$C$",K12+1)))</f>
        <v/>
      </c>
      <c r="K12" t="n">
        <v>8</v>
      </c>
    </row>
    <row r="13">
      <c r="A13" t="n">
        <v>12</v>
      </c>
      <c r="B13" t="inlineStr">
        <is>
          <t>Vista del solicitante: portal de solicitudes propias y bandeja de correcciones</t>
        </is>
      </c>
      <c r="C13">
        <f>E13-D13+1</f>
        <v/>
      </c>
      <c r="D13" s="2" t="n">
        <v>46270</v>
      </c>
      <c r="E13" s="2" t="n">
        <v>46283</v>
      </c>
      <c r="F13" s="6">
        <f>IF(D13&gt;TODAY(),0,((TODAY()-D13+1)/(E13-D13+1)))</f>
        <v/>
      </c>
      <c r="G13" s="6" t="n">
        <v>0</v>
      </c>
      <c r="H13" s="6">
        <f>G13-F13</f>
        <v/>
      </c>
      <c r="I13" s="11">
        <f t="array" ref="I13">F13*(C13/INDIRECT(_xlfn.CONCAT("$C$",K13+1)))</f>
        <v/>
      </c>
      <c r="J13" s="11">
        <f t="array" ref="J13">G13*(C13/INDIRECT(_xlfn.CONCAT("$C$",K13+1)))</f>
        <v/>
      </c>
      <c r="K13" t="n">
        <v>8</v>
      </c>
    </row>
    <row r="14">
      <c r="A14" t="n">
        <v>13</v>
      </c>
      <c r="B14" t="inlineStr">
        <is>
          <t>Notificaciones por correo (solicitante y gestor legal)</t>
        </is>
      </c>
      <c r="C14">
        <f>E14-D14+1</f>
        <v/>
      </c>
      <c r="D14" s="2" t="n">
        <v>46284</v>
      </c>
      <c r="E14" s="2" t="n">
        <v>46290</v>
      </c>
      <c r="F14" s="6">
        <f>IF(D14&gt;TODAY(),0,((TODAY()-D14+1)/(E14-D14+1)))</f>
        <v/>
      </c>
      <c r="G14" s="6" t="n">
        <v>0</v>
      </c>
      <c r="H14" s="6">
        <f>G14-F14</f>
        <v/>
      </c>
      <c r="I14" s="11">
        <f t="array" ref="I14">F14*(C14/INDIRECT(_xlfn.CONCAT("$C$",K14+1)))</f>
        <v/>
      </c>
      <c r="J14" s="11">
        <f t="array" ref="J14">G14*(C14/INDIRECT(_xlfn.CONCAT("$C$",K14+1)))</f>
        <v/>
      </c>
      <c r="K14" t="n">
        <v>8</v>
      </c>
    </row>
    <row r="15">
      <c r="A15" t="n">
        <v>14</v>
      </c>
      <c r="B15" t="inlineStr">
        <is>
          <t>Subida de documento final firmado y diferenciación de versión oficial</t>
        </is>
      </c>
      <c r="C15">
        <f>E15-D15+1</f>
        <v/>
      </c>
      <c r="D15" s="2" t="n">
        <v>46291</v>
      </c>
      <c r="E15" s="2" t="n">
        <v>46297</v>
      </c>
      <c r="F15" s="6">
        <f>IF(D15&gt;TODAY(),0,((TODAY()-D15+1)/(E15-D15+1)))</f>
        <v/>
      </c>
      <c r="G15" s="6" t="n">
        <v>0</v>
      </c>
      <c r="H15" s="6">
        <f>G15-F15</f>
        <v/>
      </c>
      <c r="I15" s="11">
        <f t="array" ref="I15">F15*(C15/INDIRECT(_xlfn.CONCAT("$C$",K15+1)))</f>
        <v/>
      </c>
      <c r="J15" s="11">
        <f t="array" ref="J15">G15*(C15/INDIRECT(_xlfn.CONCAT("$C$",K15+1)))</f>
        <v/>
      </c>
      <c r="K15" t="n">
        <v>8</v>
      </c>
    </row>
    <row r="16">
      <c r="A16" t="n">
        <v>15</v>
      </c>
      <c r="B16" t="inlineStr">
        <is>
          <t>Biblioteca de documentos: búsqueda y filtrado de contratos finales</t>
        </is>
      </c>
      <c r="C16">
        <f>E16-D16+1</f>
        <v/>
      </c>
      <c r="D16" s="2" t="n">
        <v>46298</v>
      </c>
      <c r="E16" s="2" t="n">
        <v>46304</v>
      </c>
      <c r="F16" s="6">
        <f>IF(D16&gt;TODAY(),0,((TODAY()-D16+1)/(E16-D16+1)))</f>
        <v/>
      </c>
      <c r="G16" s="6" t="n">
        <v>0</v>
      </c>
      <c r="H16" s="6">
        <f>G16-F16</f>
        <v/>
      </c>
      <c r="I16" s="11">
        <f t="array" ref="I16">F16*(C16/INDIRECT(_xlfn.CONCAT("$C$",K16+1)))</f>
        <v/>
      </c>
      <c r="J16" s="11">
        <f t="array" ref="J16">G16*(C16/INDIRECT(_xlfn.CONCAT("$C$",K16+1)))</f>
        <v/>
      </c>
      <c r="K16" t="n">
        <v>8</v>
      </c>
    </row>
    <row r="17">
      <c r="A17" t="n">
        <v>16</v>
      </c>
      <c r="B17" t="inlineStr">
        <is>
          <t>Previsualización del borrador en modal (conversión .docx a PDF con LibreOffice)</t>
        </is>
      </c>
      <c r="C17">
        <f>E17-D17+1</f>
        <v/>
      </c>
      <c r="D17" s="2" t="n">
        <v>46305</v>
      </c>
      <c r="E17" s="2" t="n">
        <v>46311</v>
      </c>
      <c r="F17" s="6">
        <f>IF(D17&gt;TODAY(),0,((TODAY()-D17+1)/(E17-D17+1)))</f>
        <v/>
      </c>
      <c r="G17" s="6" t="n">
        <v>0</v>
      </c>
      <c r="H17" s="6">
        <f>G17-F17</f>
        <v/>
      </c>
      <c r="I17" s="11">
        <f t="array" ref="I17">F17*(C17/INDIRECT(_xlfn.CONCAT("$C$",K17+1)))</f>
        <v/>
      </c>
      <c r="J17" s="11">
        <f t="array" ref="J17">G17*(C17/INDIRECT(_xlfn.CONCAT("$C$",K17+1)))</f>
        <v/>
      </c>
      <c r="K17" t="n">
        <v>8</v>
      </c>
    </row>
    <row r="18">
      <c r="A18" t="n">
        <v>17</v>
      </c>
      <c r="B18" t="inlineStr">
        <is>
          <t>Notificaciones en plataforma (badge de pendientes)</t>
        </is>
      </c>
      <c r="C18">
        <f>E18-D18+1</f>
        <v/>
      </c>
      <c r="D18" s="2" t="n">
        <v>46312</v>
      </c>
      <c r="E18" s="2" t="n">
        <v>46315</v>
      </c>
      <c r="F18" s="6">
        <f>IF(D18&gt;TODAY(),0,((TODAY()-D18+1)/(E18-D18+1)))</f>
        <v/>
      </c>
      <c r="G18" s="6" t="n">
        <v>0</v>
      </c>
      <c r="H18" s="6">
        <f>G18-F18</f>
        <v/>
      </c>
      <c r="I18" s="11">
        <f t="array" ref="I18">F18*(C18/INDIRECT(_xlfn.CONCAT("$C$",K18+1)))</f>
        <v/>
      </c>
      <c r="J18" s="11">
        <f t="array" ref="J18">G18*(C18/INDIRECT(_xlfn.CONCAT("$C$",K18+1)))</f>
        <v/>
      </c>
      <c r="K18" t="n">
        <v>8</v>
      </c>
    </row>
    <row r="19">
      <c r="A19" t="n">
        <v>18</v>
      </c>
      <c r="B19" t="inlineStr">
        <is>
          <t>Reportes y exportación a Excel</t>
        </is>
      </c>
      <c r="C19">
        <f>E19-D19+1</f>
        <v/>
      </c>
      <c r="D19" s="2" t="n">
        <v>46316</v>
      </c>
      <c r="E19" s="2" t="n">
        <v>46320</v>
      </c>
      <c r="F19" s="6">
        <f>IF(D19&gt;TODAY(),0,((TODAY()-D19+1)/(E19-D19+1)))</f>
        <v/>
      </c>
      <c r="G19" s="6" t="n">
        <v>0</v>
      </c>
      <c r="H19" s="6">
        <f>G19-F19</f>
        <v/>
      </c>
      <c r="I19" s="11">
        <f t="array" ref="I19">F19*(C19/INDIRECT(_xlfn.CONCAT("$C$",K19+1)))</f>
        <v/>
      </c>
      <c r="J19" s="11">
        <f t="array" ref="J19">G19*(C19/INDIRECT(_xlfn.CONCAT("$C$",K19+1)))</f>
        <v/>
      </c>
      <c r="K19" t="n">
        <v>8</v>
      </c>
    </row>
    <row r="20">
      <c r="A20" t="n">
        <v>19</v>
      </c>
      <c r="B20" s="5" t="inlineStr">
        <is>
          <t>Capitulo 5 - Implementación</t>
        </is>
      </c>
      <c r="C20" s="3">
        <f>SUMIF($K$2:$K$97, A20, $C$2:$C$97)</f>
        <v/>
      </c>
      <c r="D20" s="4">
        <f>MIN(D21:D22)</f>
        <v/>
      </c>
      <c r="E20" s="4">
        <f>MAX(E21:E22)</f>
        <v/>
      </c>
      <c r="F20" s="8">
        <f>SUMIF($K$2:$K$97, A20, $I$2:$I$97)</f>
        <v/>
      </c>
      <c r="G20" s="8">
        <f>SUMIF($K$2:$K$97, A20, $J$2:$J$97)</f>
        <v/>
      </c>
      <c r="H20" s="8">
        <f>G20-F20</f>
        <v/>
      </c>
      <c r="I20" s="12">
        <f>F20*(C20/INDIRECT(_xlfn.CONCAT("$C$",K20+1)))</f>
        <v/>
      </c>
      <c r="J20" s="12">
        <f>G20*(C20/INDIRECT(_xlfn.CONCAT("$C$",K20+1)))</f>
        <v/>
      </c>
      <c r="K20" s="3" t="n">
        <v>1</v>
      </c>
    </row>
    <row r="21">
      <c r="A21" t="n">
        <v>20</v>
      </c>
      <c r="B21" t="inlineStr">
        <is>
          <t>Pruebas integrales, aceptación de usuario (UAT) y corrección de errores</t>
        </is>
      </c>
      <c r="C21">
        <f>E21-D21+1</f>
        <v/>
      </c>
      <c r="D21" s="2" t="n">
        <v>46321</v>
      </c>
      <c r="E21" s="2" t="n">
        <v>46323</v>
      </c>
      <c r="F21" s="6">
        <f>IF(D21&gt;TODAY(),0,((TODAY()-D21+1)/(E21-D21+1)))</f>
        <v/>
      </c>
      <c r="G21" s="6" t="n">
        <v>0</v>
      </c>
      <c r="H21" s="6">
        <f>G21-F21</f>
        <v/>
      </c>
      <c r="I21" s="11">
        <f>F21*(C21/INDIRECT(_xlfn.CONCAT("$C$",K21+1)))</f>
        <v/>
      </c>
      <c r="J21" s="11">
        <f>G21*(C21/INDIRECT(_xlfn.CONCAT("$C$",K21+1)))</f>
        <v/>
      </c>
      <c r="K21" t="n">
        <v>19</v>
      </c>
    </row>
    <row r="22">
      <c r="A22" t="n">
        <v>21</v>
      </c>
      <c r="B22" t="inlineStr">
        <is>
          <t>Documentación final, manual de usuario y entrega del proyecto</t>
        </is>
      </c>
      <c r="C22">
        <f>E22-D22+1</f>
        <v/>
      </c>
      <c r="D22" s="2">
        <f>E21+1</f>
        <v/>
      </c>
      <c r="E22" s="2" t="n">
        <v>46325</v>
      </c>
      <c r="F22" s="6">
        <f>IF(D22&gt;TODAY(),0,((TODAY()-D22+1)/(E22-D22+1)))</f>
        <v/>
      </c>
      <c r="G22" s="6" t="n">
        <v>0</v>
      </c>
      <c r="H22" s="6">
        <f>G22-F22</f>
        <v/>
      </c>
      <c r="I22" s="11">
        <f>F22*(C22/INDIRECT(_xlfn.CONCAT("$C$",K22+1)))</f>
        <v/>
      </c>
      <c r="J22" s="11">
        <f>G22*(C22/INDIRECT(_xlfn.CONCAT("$C$",K22+1)))</f>
        <v/>
      </c>
      <c r="K22" t="n">
        <v>19</v>
      </c>
    </row>
  </sheetData>
  <conditionalFormatting sqref="H2:H21">
    <cfRule type="cellIs" priority="1" operator="lessThan" dxfId="0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2026-08-01T20:47:18Z</dcterms:created>
  <dcterms:modified xmlns:dcterms="http://purl.org/dc/terms/" xmlns:xsi="http://www.w3.org/2001/XMLSchema-instance" xsi:type="dcterms:W3CDTF">2026-08-08T00:24:32Z</dcterms:modified>
</cp:coreProperties>
</file>